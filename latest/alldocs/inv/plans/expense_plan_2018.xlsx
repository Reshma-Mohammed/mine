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new\mine\latest\alldocs\inv\"/>
    </mc:Choice>
  </mc:AlternateContent>
  <xr:revisionPtr revIDLastSave="0" documentId="13_ncr:1_{75BAEC5A-F77D-4AA7-A174-87C942E825A2}" xr6:coauthVersionLast="45" xr6:coauthVersionMax="45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Jan'18" sheetId="1" r:id="rId1"/>
    <sheet name="Feb'18" sheetId="2" r:id="rId2"/>
    <sheet name="March'18" sheetId="4" r:id="rId3"/>
    <sheet name="April'18" sheetId="5" r:id="rId4"/>
    <sheet name="May'18" sheetId="6" r:id="rId5"/>
    <sheet name="June'18" sheetId="7" r:id="rId6"/>
    <sheet name="MFsLicElss" sheetId="3" r:id="rId7"/>
    <sheet name="Stocks" sheetId="8" r:id="rId8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0" i="8" l="1"/>
  <c r="B15" i="7" l="1"/>
  <c r="G14" i="7"/>
  <c r="B15" i="6" l="1"/>
  <c r="G14" i="6"/>
  <c r="G4" i="6"/>
  <c r="G14" i="5" l="1"/>
  <c r="G4" i="5" l="1"/>
  <c r="B15" i="5"/>
  <c r="B23" i="4" l="1"/>
  <c r="G18" i="2" l="1"/>
  <c r="G21" i="2" l="1"/>
  <c r="B27" i="2" l="1"/>
  <c r="B29" i="2" s="1"/>
  <c r="B8" i="1" l="1"/>
  <c r="B22" i="1"/>
  <c r="B21" i="1"/>
</calcChain>
</file>

<file path=xl/sharedStrings.xml><?xml version="1.0" encoding="utf-8"?>
<sst xmlns="http://schemas.openxmlformats.org/spreadsheetml/2006/main" count="221" uniqueCount="168">
  <si>
    <t>Expense</t>
  </si>
  <si>
    <t>Amount</t>
  </si>
  <si>
    <t>petrol</t>
  </si>
  <si>
    <t>to mom</t>
  </si>
  <si>
    <t>home</t>
  </si>
  <si>
    <t>my exp</t>
  </si>
  <si>
    <t>ignou</t>
  </si>
  <si>
    <t>car</t>
  </si>
  <si>
    <t>hospital</t>
  </si>
  <si>
    <t>sbimf</t>
  </si>
  <si>
    <t>opening balance</t>
  </si>
  <si>
    <t xml:space="preserve">Remaining </t>
  </si>
  <si>
    <t>Sandal</t>
  </si>
  <si>
    <t>Remaining</t>
  </si>
  <si>
    <t>ICICI</t>
  </si>
  <si>
    <t>SBI</t>
  </si>
  <si>
    <t>Total Expense (ICICI+SBI) = 35000</t>
  </si>
  <si>
    <t>Other Cuts - Car+SBIMF</t>
  </si>
  <si>
    <t>Useful - IGNOU &amp; Hospital</t>
  </si>
  <si>
    <t>diapers</t>
  </si>
  <si>
    <t>rc</t>
  </si>
  <si>
    <t>cab</t>
  </si>
  <si>
    <t xml:space="preserve">Opening Balance </t>
  </si>
  <si>
    <t>Expenses</t>
  </si>
  <si>
    <t>Diapers</t>
  </si>
  <si>
    <t>Micellar,Tilsmi,Shampoo</t>
  </si>
  <si>
    <t>ATM WD</t>
  </si>
  <si>
    <t>RC</t>
  </si>
  <si>
    <t>Petrol</t>
  </si>
  <si>
    <t>Opening</t>
  </si>
  <si>
    <t>Car EMI</t>
  </si>
  <si>
    <t>SBI SIP</t>
  </si>
  <si>
    <t>LIC</t>
  </si>
  <si>
    <t>Need tp put aside for</t>
  </si>
  <si>
    <t>19k</t>
  </si>
  <si>
    <t>ELSS</t>
  </si>
  <si>
    <t>3k</t>
  </si>
  <si>
    <t>March</t>
  </si>
  <si>
    <t>lumpsum</t>
  </si>
  <si>
    <t>Medical</t>
  </si>
  <si>
    <t>MF</t>
  </si>
  <si>
    <t>SBI Blue Chip</t>
  </si>
  <si>
    <t>Motilal Oswal long Term Fund Elss</t>
  </si>
  <si>
    <t>38000/16yrs</t>
  </si>
  <si>
    <t>Paid</t>
  </si>
  <si>
    <t>Rate and Term</t>
  </si>
  <si>
    <t>medicines</t>
  </si>
  <si>
    <t>Shoes bub+me</t>
  </si>
  <si>
    <t xml:space="preserve">withdrawal </t>
  </si>
  <si>
    <t>Balance</t>
  </si>
  <si>
    <t xml:space="preserve">To Mom </t>
  </si>
  <si>
    <t>ICICI Prudential iSmart Life Insurance</t>
  </si>
  <si>
    <t>1600/30yrs</t>
  </si>
  <si>
    <t>cake</t>
  </si>
  <si>
    <t>cloths</t>
  </si>
  <si>
    <t>firstcry</t>
  </si>
  <si>
    <t>from March 2018</t>
  </si>
  <si>
    <t>From Dec 2017</t>
  </si>
  <si>
    <t xml:space="preserve">ICICI Pru </t>
  </si>
  <si>
    <t>Mirae Asset Blue Chip Fund</t>
  </si>
  <si>
    <t>L&amp;T Emerging Business Fund</t>
  </si>
  <si>
    <t>From April 2018</t>
  </si>
  <si>
    <t>Premium Date</t>
  </si>
  <si>
    <t xml:space="preserve">Initiation </t>
  </si>
  <si>
    <t>20th</t>
  </si>
  <si>
    <t>18th</t>
  </si>
  <si>
    <t>5th</t>
  </si>
  <si>
    <t>L&amp;T SIP</t>
  </si>
  <si>
    <t>ICICI pru LIC Premium</t>
  </si>
  <si>
    <t>MO ELSS SIP</t>
  </si>
  <si>
    <t>Mirae india opportunities</t>
  </si>
  <si>
    <t>Mirae Asset India Opportunities Fund</t>
  </si>
  <si>
    <t>Additional buy 5k</t>
  </si>
  <si>
    <t>baby milk powder</t>
  </si>
  <si>
    <t>FD</t>
  </si>
  <si>
    <t>to home</t>
  </si>
  <si>
    <t>chain for mom</t>
  </si>
  <si>
    <t>nykaa</t>
  </si>
  <si>
    <t>FC</t>
  </si>
  <si>
    <t>Ny</t>
  </si>
  <si>
    <t>Ayur</t>
  </si>
  <si>
    <t>Trasfered</t>
  </si>
  <si>
    <t>SIPs</t>
  </si>
  <si>
    <t>Home</t>
  </si>
  <si>
    <t>icici pru</t>
  </si>
  <si>
    <t>gold</t>
  </si>
  <si>
    <t>milk powder</t>
  </si>
  <si>
    <t>28th</t>
  </si>
  <si>
    <t>AC</t>
  </si>
  <si>
    <t>contains 15K from Medical used for buying Gold</t>
  </si>
  <si>
    <t>tslawcet</t>
  </si>
  <si>
    <t>IELTS</t>
  </si>
  <si>
    <t>Internet</t>
  </si>
  <si>
    <t>may Int</t>
  </si>
  <si>
    <t>Headphone</t>
  </si>
  <si>
    <t>Shop</t>
  </si>
  <si>
    <t>Milk Powder</t>
  </si>
  <si>
    <t>rafee</t>
  </si>
  <si>
    <t>ielts test</t>
  </si>
  <si>
    <t>Badescu</t>
  </si>
  <si>
    <t>Charminar</t>
  </si>
  <si>
    <t>Too Much spendings in May on Shopping!</t>
  </si>
  <si>
    <t>milkpow</t>
  </si>
  <si>
    <t>icici</t>
  </si>
  <si>
    <t>From Icici</t>
  </si>
  <si>
    <t>Candere</t>
  </si>
  <si>
    <t>upto Feb'19</t>
  </si>
  <si>
    <t>8months</t>
  </si>
  <si>
    <t>for 2 months</t>
  </si>
  <si>
    <t>From Mar 2018</t>
  </si>
  <si>
    <t>Parag Parikh Long term equity fund</t>
  </si>
  <si>
    <t>From Feb 2021</t>
  </si>
  <si>
    <t>UTI Nifty Next 50 Index Fund</t>
  </si>
  <si>
    <t>Update to Previous</t>
  </si>
  <si>
    <t>Reduced amount to 3k/month after 3 years (from Feb 2021)</t>
  </si>
  <si>
    <t>6th</t>
  </si>
  <si>
    <t>From March 2015</t>
  </si>
  <si>
    <t>Additional buy 15k</t>
  </si>
  <si>
    <t>Mirae Tax Saver Fund</t>
  </si>
  <si>
    <t>Stopped SIP from Mar 2021. Money is not withdrawn. Started ELSS of Mirae thereafter</t>
  </si>
  <si>
    <t>Stopped SIP from June 2020. Money is not withdrawn. Started additional 3k Mirae Blue chip fund thereafter.</t>
  </si>
  <si>
    <t>From April 2021</t>
  </si>
  <si>
    <t>SBI Intl Access-US Eqt FoF Dir-G |</t>
  </si>
  <si>
    <t>In March 2021</t>
  </si>
  <si>
    <t>increased to 6k/month</t>
  </si>
  <si>
    <t>Stock Name</t>
  </si>
  <si>
    <t>MothersonSumi</t>
  </si>
  <si>
    <t>No. of Shares</t>
  </si>
  <si>
    <t>Syngene International</t>
  </si>
  <si>
    <t>ITC</t>
  </si>
  <si>
    <t>Adani Ports</t>
  </si>
  <si>
    <t>Jamna Auto Ind</t>
  </si>
  <si>
    <t>Berger Paints</t>
  </si>
  <si>
    <t>Power Finance Corp</t>
  </si>
  <si>
    <t>IRCTC</t>
  </si>
  <si>
    <t>Reliance industries</t>
  </si>
  <si>
    <t>Tata Power</t>
  </si>
  <si>
    <t>IDFC First Bank</t>
  </si>
  <si>
    <t>Coal India</t>
  </si>
  <si>
    <t>Railtel Corp</t>
  </si>
  <si>
    <t>TCS</t>
  </si>
  <si>
    <t>Tata Motors</t>
  </si>
  <si>
    <t>Hindalco</t>
  </si>
  <si>
    <t>Power Grid Corp</t>
  </si>
  <si>
    <t>Axis Bank</t>
  </si>
  <si>
    <t>Bharti Airtel</t>
  </si>
  <si>
    <t>HDFC Bank</t>
  </si>
  <si>
    <t>ICICI Bank</t>
  </si>
  <si>
    <t>Total</t>
  </si>
  <si>
    <t>Goals</t>
  </si>
  <si>
    <t>100 shares</t>
  </si>
  <si>
    <t>AMAP</t>
  </si>
  <si>
    <t>To Add</t>
  </si>
  <si>
    <t>Asian Paints</t>
  </si>
  <si>
    <t>Pidilite</t>
  </si>
  <si>
    <t>Pharma Shares</t>
  </si>
  <si>
    <t>Additional Buy for internation exposure..plan to start SIP in this fund as performing well until I don’t invest directly in US stocks</t>
  </si>
  <si>
    <r>
      <rPr>
        <b/>
        <sz val="11"/>
        <color theme="1"/>
        <rFont val="Calibri"/>
        <family val="2"/>
      </rPr>
      <t>Old</t>
    </r>
    <r>
      <rPr>
        <sz val="11"/>
        <color theme="1"/>
        <rFont val="Calibri"/>
        <family val="2"/>
        <scheme val="minor"/>
      </rPr>
      <t xml:space="preserve"> - 5k/3yrs;                      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- 3k/no limit</t>
    </r>
  </si>
  <si>
    <r>
      <rPr>
        <b/>
        <sz val="11"/>
        <color theme="1"/>
        <rFont val="Calibri"/>
        <family val="2"/>
        <scheme val="minor"/>
      </rPr>
      <t>Old</t>
    </r>
    <r>
      <rPr>
        <sz val="11"/>
        <color theme="1"/>
        <rFont val="Calibri"/>
        <family val="2"/>
        <scheme val="minor"/>
      </rPr>
      <t xml:space="preserve"> - 3k/5yrs;                                              </t>
    </r>
    <r>
      <rPr>
        <b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  <scheme val="minor"/>
      </rPr>
      <t xml:space="preserve"> - 6k/no limit</t>
    </r>
  </si>
  <si>
    <r>
      <rPr>
        <b/>
        <sz val="11"/>
        <color theme="1"/>
        <rFont val="Calibri"/>
        <family val="2"/>
        <scheme val="minor"/>
      </rPr>
      <t>Old</t>
    </r>
    <r>
      <rPr>
        <sz val="11"/>
        <color theme="1"/>
        <rFont val="Calibri"/>
        <family val="2"/>
        <scheme val="minor"/>
      </rPr>
      <t xml:space="preserve"> - 3k/3yrs;                     </t>
    </r>
    <r>
      <rPr>
        <b/>
        <sz val="11"/>
        <color theme="1"/>
        <rFont val="Calibri"/>
        <family val="2"/>
      </rPr>
      <t>New</t>
    </r>
    <r>
      <rPr>
        <sz val="11"/>
        <color theme="1"/>
        <rFont val="Calibri"/>
        <family val="2"/>
        <scheme val="minor"/>
      </rPr>
      <t xml:space="preserve"> - Stopped SIP</t>
    </r>
  </si>
  <si>
    <t>2k/5yrs</t>
  </si>
  <si>
    <r>
      <rPr>
        <b/>
        <sz val="11"/>
        <color theme="1"/>
        <rFont val="Calibri"/>
        <family val="2"/>
      </rPr>
      <t>Old</t>
    </r>
    <r>
      <rPr>
        <sz val="11"/>
        <color theme="1"/>
        <rFont val="Calibri"/>
        <family val="2"/>
        <scheme val="minor"/>
      </rPr>
      <t xml:space="preserve"> - 3k/3yrs;                         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- Stopped SIP</t>
    </r>
  </si>
  <si>
    <t>2k/no limit</t>
  </si>
  <si>
    <t>3k/no limit</t>
  </si>
  <si>
    <t>1k/no limit</t>
  </si>
  <si>
    <t>For Arham's Education/Business; Need more investment here check the excel for child_plan 5L at least</t>
  </si>
  <si>
    <t>Out of 16 years, 6 years completed…more 10 years to go. Maturity in 2031</t>
  </si>
  <si>
    <t>Buy - 20000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</si>
</sst>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5" fillId="3" borderId="0" xfId="0" applyFont="1" applyFill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5" borderId="3" xfId="0" applyFill="1" applyBorder="1"/>
    <xf numFmtId="0" fontId="0" fillId="5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3" xfId="0" applyFill="1" applyBorder="1"/>
    <xf numFmtId="0" fontId="0" fillId="0" borderId="4" xfId="0" applyFill="1" applyBorder="1"/>
    <xf numFmtId="0" fontId="1" fillId="6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0" fillId="2" borderId="9" xfId="0" applyFill="1" applyBorder="1" applyAlignment="1">
      <alignment horizontal="center"/>
    </xf>
    <xf numFmtId="0" fontId="0" fillId="0" borderId="9" xfId="0" applyBorder="1"/>
    <xf numFmtId="0" fontId="0" fillId="2" borderId="9" xfId="0" applyFill="1" applyBorder="1" applyAlignment="1">
      <alignment horizontal="center" wrapText="1"/>
    </xf>
    <xf numFmtId="0" fontId="0" fillId="2" borderId="0" xfId="0" applyFill="1" applyBorder="1" applyAlignment="1">
      <alignment wrapText="1"/>
    </xf>
    <xf numFmtId="0" fontId="7" fillId="0" borderId="0" xfId="1"/>
    <xf numFmtId="0" fontId="7" fillId="0" borderId="0" xfId="1" applyAlignment="1">
      <alignment horizontal="center"/>
    </xf>
    <xf numFmtId="0" fontId="8" fillId="7" borderId="0" xfId="1" applyFont="1" applyFill="1"/>
    <xf numFmtId="0" fontId="8" fillId="7" borderId="0" xfId="1" applyFont="1" applyFill="1" applyAlignment="1">
      <alignment horizontal="center"/>
    </xf>
    <xf numFmtId="0" fontId="7" fillId="4" borderId="0" xfId="1" applyFill="1"/>
    <xf numFmtId="0" fontId="6" fillId="3" borderId="1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0" fillId="0" borderId="4" xfId="0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0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F63F51B5-83AE-4494-83BB-B4EE944C4C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B22" sqref="B22"/>
    </sheetView>
  </sheetViews>
  <sheetFormatPr defaultRowHeight="14.5" x14ac:dyDescent="0.35"/>
  <cols>
    <col min="1" max="1" width="26.7265625" customWidth="1"/>
    <col min="2" max="2" width="28.26953125" customWidth="1"/>
  </cols>
  <sheetData>
    <row r="1" spans="1:9" x14ac:dyDescent="0.35">
      <c r="A1" t="s">
        <v>0</v>
      </c>
      <c r="B1" t="s">
        <v>1</v>
      </c>
    </row>
    <row r="3" spans="1:9" x14ac:dyDescent="0.35">
      <c r="A3" s="5" t="s">
        <v>14</v>
      </c>
    </row>
    <row r="4" spans="1:9" x14ac:dyDescent="0.35">
      <c r="A4" t="s">
        <v>12</v>
      </c>
      <c r="B4">
        <v>2500</v>
      </c>
    </row>
    <row r="5" spans="1:9" x14ac:dyDescent="0.35">
      <c r="A5" t="s">
        <v>2</v>
      </c>
      <c r="B5">
        <v>9300</v>
      </c>
    </row>
    <row r="6" spans="1:9" x14ac:dyDescent="0.35">
      <c r="A6" t="s">
        <v>3</v>
      </c>
      <c r="B6">
        <v>3000</v>
      </c>
    </row>
    <row r="7" spans="1:9" x14ac:dyDescent="0.35">
      <c r="A7" t="s">
        <v>5</v>
      </c>
      <c r="B7">
        <v>1000</v>
      </c>
    </row>
    <row r="8" spans="1:9" x14ac:dyDescent="0.35">
      <c r="B8" s="1">
        <f>SUM(B4:B7)</f>
        <v>15800</v>
      </c>
    </row>
    <row r="9" spans="1:9" x14ac:dyDescent="0.35">
      <c r="A9" s="4" t="s">
        <v>13</v>
      </c>
      <c r="B9" s="4">
        <v>500</v>
      </c>
    </row>
    <row r="10" spans="1:9" x14ac:dyDescent="0.35">
      <c r="A10" t="s">
        <v>20</v>
      </c>
      <c r="B10">
        <v>200</v>
      </c>
      <c r="F10" s="4" t="s">
        <v>16</v>
      </c>
      <c r="G10" s="4"/>
      <c r="H10" s="4"/>
      <c r="I10" s="4"/>
    </row>
    <row r="11" spans="1:9" x14ac:dyDescent="0.35">
      <c r="A11" t="s">
        <v>21</v>
      </c>
      <c r="B11">
        <v>150</v>
      </c>
      <c r="F11" s="4" t="s">
        <v>18</v>
      </c>
      <c r="G11" s="4"/>
      <c r="H11" s="4"/>
      <c r="I11" s="4"/>
    </row>
    <row r="12" spans="1:9" x14ac:dyDescent="0.35">
      <c r="A12" s="4"/>
      <c r="B12" s="4">
        <v>150</v>
      </c>
      <c r="F12" s="4" t="s">
        <v>17</v>
      </c>
      <c r="G12" s="4"/>
      <c r="H12" s="4"/>
      <c r="I12" s="4"/>
    </row>
    <row r="14" spans="1:9" x14ac:dyDescent="0.35">
      <c r="A14" s="2" t="s">
        <v>10</v>
      </c>
      <c r="B14" s="2">
        <v>22000</v>
      </c>
    </row>
    <row r="15" spans="1:9" x14ac:dyDescent="0.35">
      <c r="A15" s="5" t="s">
        <v>15</v>
      </c>
      <c r="B15">
        <v>43000</v>
      </c>
    </row>
    <row r="16" spans="1:9" x14ac:dyDescent="0.35">
      <c r="A16" t="s">
        <v>4</v>
      </c>
      <c r="B16">
        <v>10000</v>
      </c>
    </row>
    <row r="17" spans="1:2" x14ac:dyDescent="0.35">
      <c r="A17" t="s">
        <v>6</v>
      </c>
      <c r="B17">
        <v>6000</v>
      </c>
    </row>
    <row r="18" spans="1:2" x14ac:dyDescent="0.35">
      <c r="A18" t="s">
        <v>7</v>
      </c>
      <c r="B18">
        <v>10000</v>
      </c>
    </row>
    <row r="19" spans="1:2" x14ac:dyDescent="0.35">
      <c r="A19" t="s">
        <v>8</v>
      </c>
      <c r="B19">
        <v>4000</v>
      </c>
    </row>
    <row r="20" spans="1:2" x14ac:dyDescent="0.35">
      <c r="A20" t="s">
        <v>9</v>
      </c>
      <c r="B20">
        <v>5000</v>
      </c>
    </row>
    <row r="21" spans="1:2" x14ac:dyDescent="0.35">
      <c r="B21" s="3">
        <f>SUM(B16:B20)</f>
        <v>35000</v>
      </c>
    </row>
    <row r="22" spans="1:2" x14ac:dyDescent="0.35">
      <c r="A22" s="4" t="s">
        <v>11</v>
      </c>
      <c r="B22" s="4">
        <f>MIN(B14+B15-B21)</f>
        <v>30000</v>
      </c>
    </row>
    <row r="23" spans="1:2" x14ac:dyDescent="0.35">
      <c r="A23" t="s">
        <v>19</v>
      </c>
      <c r="B23">
        <v>850</v>
      </c>
    </row>
    <row r="24" spans="1:2" x14ac:dyDescent="0.35">
      <c r="A24" t="s">
        <v>2</v>
      </c>
      <c r="B24">
        <v>200</v>
      </c>
    </row>
    <row r="25" spans="1:2" x14ac:dyDescent="0.35">
      <c r="A25" s="4"/>
      <c r="B25" s="4">
        <v>29000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29"/>
  <sheetViews>
    <sheetView topLeftCell="A2" zoomScale="90" zoomScaleNormal="90" workbookViewId="0">
      <selection activeCell="J23" sqref="J23"/>
    </sheetView>
  </sheetViews>
  <sheetFormatPr defaultRowHeight="14.5" x14ac:dyDescent="0.35"/>
  <cols>
    <col min="1" max="1" width="29.81640625" customWidth="1"/>
    <col min="2" max="2" width="37.54296875" customWidth="1"/>
    <col min="6" max="6" width="23.453125" customWidth="1"/>
    <col min="7" max="7" width="20.7265625" customWidth="1"/>
    <col min="10" max="10" width="21" customWidth="1"/>
    <col min="11" max="11" width="13.81640625" customWidth="1"/>
  </cols>
  <sheetData>
    <row r="3" spans="1:11" ht="15" thickBot="1" x14ac:dyDescent="0.4"/>
    <row r="4" spans="1:11" x14ac:dyDescent="0.35">
      <c r="A4" s="10" t="s">
        <v>14</v>
      </c>
      <c r="B4" s="11"/>
      <c r="F4" s="10" t="s">
        <v>15</v>
      </c>
      <c r="G4" s="11"/>
    </row>
    <row r="5" spans="1:11" x14ac:dyDescent="0.35">
      <c r="A5" s="12" t="s">
        <v>22</v>
      </c>
      <c r="B5" s="13">
        <v>69800</v>
      </c>
      <c r="F5" s="12" t="s">
        <v>29</v>
      </c>
      <c r="G5" s="13">
        <v>50000</v>
      </c>
    </row>
    <row r="6" spans="1:11" x14ac:dyDescent="0.35">
      <c r="A6" s="14"/>
      <c r="B6" s="15"/>
      <c r="F6" s="14"/>
      <c r="G6" s="15"/>
    </row>
    <row r="7" spans="1:11" x14ac:dyDescent="0.35">
      <c r="A7" s="16" t="s">
        <v>23</v>
      </c>
      <c r="B7" s="17"/>
      <c r="C7" s="6"/>
      <c r="D7" s="6"/>
      <c r="E7" s="6"/>
      <c r="F7" s="16"/>
      <c r="G7" s="17"/>
      <c r="H7" s="6"/>
      <c r="I7" s="6"/>
      <c r="J7" s="7" t="s">
        <v>33</v>
      </c>
      <c r="K7" s="7" t="s">
        <v>37</v>
      </c>
    </row>
    <row r="8" spans="1:11" x14ac:dyDescent="0.35">
      <c r="A8" s="14" t="s">
        <v>24</v>
      </c>
      <c r="B8" s="15">
        <v>1000</v>
      </c>
      <c r="F8" s="14" t="s">
        <v>30</v>
      </c>
      <c r="G8" s="15">
        <v>10000</v>
      </c>
      <c r="J8" t="s">
        <v>32</v>
      </c>
      <c r="K8" t="s">
        <v>34</v>
      </c>
    </row>
    <row r="9" spans="1:11" x14ac:dyDescent="0.35">
      <c r="A9" s="20" t="s">
        <v>25</v>
      </c>
      <c r="B9" s="21">
        <v>800</v>
      </c>
      <c r="F9" s="14" t="s">
        <v>31</v>
      </c>
      <c r="G9" s="15">
        <v>5000</v>
      </c>
      <c r="J9" t="s">
        <v>35</v>
      </c>
      <c r="K9" t="s">
        <v>36</v>
      </c>
    </row>
    <row r="10" spans="1:11" x14ac:dyDescent="0.35">
      <c r="A10" s="14" t="s">
        <v>26</v>
      </c>
      <c r="B10" s="15">
        <v>1000</v>
      </c>
      <c r="F10" s="14" t="s">
        <v>67</v>
      </c>
      <c r="G10" s="15">
        <v>3000</v>
      </c>
      <c r="J10" t="s">
        <v>38</v>
      </c>
    </row>
    <row r="11" spans="1:11" x14ac:dyDescent="0.35">
      <c r="A11" s="14" t="s">
        <v>27</v>
      </c>
      <c r="B11" s="15">
        <v>400</v>
      </c>
      <c r="F11" s="14" t="s">
        <v>70</v>
      </c>
      <c r="G11" s="15">
        <v>5000</v>
      </c>
    </row>
    <row r="12" spans="1:11" x14ac:dyDescent="0.35">
      <c r="A12" s="14" t="s">
        <v>28</v>
      </c>
      <c r="B12" s="15">
        <v>200</v>
      </c>
      <c r="F12" s="14"/>
      <c r="G12" s="15"/>
    </row>
    <row r="13" spans="1:11" x14ac:dyDescent="0.35">
      <c r="A13" s="14" t="s">
        <v>39</v>
      </c>
      <c r="B13" s="15"/>
      <c r="F13" s="14"/>
      <c r="G13" s="15"/>
    </row>
    <row r="14" spans="1:11" x14ac:dyDescent="0.35">
      <c r="A14" s="20" t="s">
        <v>46</v>
      </c>
      <c r="B14" s="21">
        <v>1450</v>
      </c>
      <c r="F14" s="14"/>
      <c r="G14" s="15"/>
    </row>
    <row r="15" spans="1:11" x14ac:dyDescent="0.35">
      <c r="A15" s="20" t="s">
        <v>47</v>
      </c>
      <c r="B15" s="21">
        <v>1200</v>
      </c>
      <c r="F15" s="14"/>
      <c r="G15" s="15"/>
    </row>
    <row r="16" spans="1:11" x14ac:dyDescent="0.35">
      <c r="A16" s="14" t="s">
        <v>48</v>
      </c>
      <c r="B16" s="15">
        <v>1000</v>
      </c>
      <c r="F16" s="14"/>
      <c r="G16" s="15"/>
    </row>
    <row r="17" spans="1:7" ht="15" thickBot="1" x14ac:dyDescent="0.4">
      <c r="A17" s="14"/>
      <c r="B17" s="15"/>
      <c r="F17" s="14"/>
      <c r="G17" s="15"/>
    </row>
    <row r="18" spans="1:7" ht="15" thickBot="1" x14ac:dyDescent="0.4">
      <c r="A18" s="14" t="s">
        <v>50</v>
      </c>
      <c r="B18" s="15">
        <v>7000</v>
      </c>
      <c r="F18" s="22" t="s">
        <v>49</v>
      </c>
      <c r="G18" s="23">
        <f>50000-10000-5000-3000-5000</f>
        <v>27000</v>
      </c>
    </row>
    <row r="19" spans="1:7" x14ac:dyDescent="0.35">
      <c r="A19" s="20" t="s">
        <v>53</v>
      </c>
      <c r="B19" s="21">
        <v>600</v>
      </c>
    </row>
    <row r="20" spans="1:7" x14ac:dyDescent="0.35">
      <c r="A20" s="20" t="s">
        <v>54</v>
      </c>
      <c r="B20" s="21">
        <v>1000</v>
      </c>
    </row>
    <row r="21" spans="1:7" x14ac:dyDescent="0.35">
      <c r="A21" s="14" t="s">
        <v>55</v>
      </c>
      <c r="B21" s="15">
        <v>700</v>
      </c>
      <c r="G21">
        <f>69800-18150</f>
        <v>51650</v>
      </c>
    </row>
    <row r="22" spans="1:7" x14ac:dyDescent="0.35">
      <c r="A22" s="14" t="s">
        <v>2</v>
      </c>
      <c r="B22" s="15">
        <v>200</v>
      </c>
    </row>
    <row r="23" spans="1:7" x14ac:dyDescent="0.35">
      <c r="A23" s="14" t="s">
        <v>58</v>
      </c>
      <c r="B23" s="15">
        <v>1600</v>
      </c>
    </row>
    <row r="24" spans="1:7" x14ac:dyDescent="0.35">
      <c r="A24" s="14"/>
      <c r="B24" s="15"/>
    </row>
    <row r="25" spans="1:7" x14ac:dyDescent="0.35">
      <c r="A25" s="14"/>
      <c r="B25" s="15"/>
    </row>
    <row r="26" spans="1:7" x14ac:dyDescent="0.35">
      <c r="A26" s="14"/>
      <c r="B26" s="15"/>
    </row>
    <row r="27" spans="1:7" ht="15" thickBot="1" x14ac:dyDescent="0.4">
      <c r="A27" s="18"/>
      <c r="B27" s="19">
        <f>SUM(B8:B26)</f>
        <v>18150</v>
      </c>
    </row>
    <row r="29" spans="1:7" x14ac:dyDescent="0.35">
      <c r="B29">
        <f>B27-6000</f>
        <v>12150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D19" sqref="D19"/>
    </sheetView>
  </sheetViews>
  <sheetFormatPr defaultRowHeight="14.5" x14ac:dyDescent="0.35"/>
  <cols>
    <col min="1" max="1" width="25.81640625" customWidth="1"/>
    <col min="2" max="2" width="19.26953125" customWidth="1"/>
    <col min="6" max="6" width="24" customWidth="1"/>
    <col min="7" max="7" width="23.81640625" customWidth="1"/>
  </cols>
  <sheetData>
    <row r="1" spans="1:7" x14ac:dyDescent="0.35">
      <c r="A1" s="10" t="s">
        <v>14</v>
      </c>
      <c r="B1" s="11"/>
      <c r="F1" s="10" t="s">
        <v>15</v>
      </c>
      <c r="G1" s="11"/>
    </row>
    <row r="2" spans="1:7" x14ac:dyDescent="0.35">
      <c r="A2" s="12" t="s">
        <v>22</v>
      </c>
      <c r="B2" s="13">
        <v>16800</v>
      </c>
      <c r="F2" s="12" t="s">
        <v>29</v>
      </c>
      <c r="G2" s="13">
        <v>155000</v>
      </c>
    </row>
    <row r="3" spans="1:7" x14ac:dyDescent="0.35">
      <c r="A3" s="14"/>
      <c r="B3" s="15"/>
      <c r="F3" s="14"/>
      <c r="G3" s="15"/>
    </row>
    <row r="4" spans="1:7" x14ac:dyDescent="0.35">
      <c r="A4" s="16" t="s">
        <v>23</v>
      </c>
      <c r="B4" s="17"/>
      <c r="C4" s="6"/>
      <c r="D4" s="6"/>
      <c r="E4" s="6"/>
      <c r="F4" s="16"/>
      <c r="G4" s="17"/>
    </row>
    <row r="5" spans="1:7" x14ac:dyDescent="0.35">
      <c r="A5" s="14"/>
      <c r="B5" s="15"/>
      <c r="F5" s="14" t="s">
        <v>30</v>
      </c>
      <c r="G5" s="15">
        <v>10000</v>
      </c>
    </row>
    <row r="6" spans="1:7" x14ac:dyDescent="0.35">
      <c r="A6" s="20" t="s">
        <v>68</v>
      </c>
      <c r="B6" s="21">
        <v>1600</v>
      </c>
      <c r="F6" s="14" t="s">
        <v>31</v>
      </c>
      <c r="G6" s="15">
        <v>5000</v>
      </c>
    </row>
    <row r="7" spans="1:7" x14ac:dyDescent="0.35">
      <c r="A7" s="14" t="s">
        <v>73</v>
      </c>
      <c r="B7" s="15">
        <v>700</v>
      </c>
      <c r="F7" s="14" t="s">
        <v>67</v>
      </c>
      <c r="G7" s="15">
        <v>3000</v>
      </c>
    </row>
    <row r="8" spans="1:7" x14ac:dyDescent="0.35">
      <c r="A8" s="14" t="s">
        <v>2</v>
      </c>
      <c r="B8" s="15">
        <v>200</v>
      </c>
      <c r="F8" s="14" t="s">
        <v>69</v>
      </c>
      <c r="G8" s="15">
        <v>3000</v>
      </c>
    </row>
    <row r="9" spans="1:7" x14ac:dyDescent="0.35">
      <c r="A9" s="14" t="s">
        <v>19</v>
      </c>
      <c r="B9" s="15">
        <v>1350</v>
      </c>
      <c r="F9" s="14" t="s">
        <v>74</v>
      </c>
      <c r="G9" s="15">
        <v>100000</v>
      </c>
    </row>
    <row r="10" spans="1:7" x14ac:dyDescent="0.35">
      <c r="A10" s="14" t="s">
        <v>76</v>
      </c>
      <c r="B10" s="15">
        <v>475</v>
      </c>
      <c r="F10" s="24" t="s">
        <v>32</v>
      </c>
      <c r="G10" s="25">
        <v>18800</v>
      </c>
    </row>
    <row r="11" spans="1:7" x14ac:dyDescent="0.35">
      <c r="A11" s="24" t="s">
        <v>2</v>
      </c>
      <c r="B11" s="25">
        <v>200</v>
      </c>
      <c r="F11" s="14"/>
      <c r="G11" s="15"/>
    </row>
    <row r="12" spans="1:7" x14ac:dyDescent="0.35">
      <c r="A12" s="24" t="s">
        <v>77</v>
      </c>
      <c r="B12" s="25">
        <v>960</v>
      </c>
      <c r="F12" s="12" t="s">
        <v>49</v>
      </c>
      <c r="G12" s="13"/>
    </row>
    <row r="13" spans="1:7" x14ac:dyDescent="0.35">
      <c r="A13" s="14" t="s">
        <v>73</v>
      </c>
      <c r="B13" s="25">
        <v>700</v>
      </c>
    </row>
    <row r="23" spans="1:2" x14ac:dyDescent="0.35">
      <c r="B23">
        <f>SUM(B6:B22)</f>
        <v>6185</v>
      </c>
    </row>
    <row r="25" spans="1:2" x14ac:dyDescent="0.35">
      <c r="A25" t="s">
        <v>75</v>
      </c>
      <c r="B25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C19" sqref="C19"/>
    </sheetView>
  </sheetViews>
  <sheetFormatPr defaultRowHeight="14.5" x14ac:dyDescent="0.35"/>
  <sheetData>
    <row r="1" spans="1:8" x14ac:dyDescent="0.35">
      <c r="A1" s="27" t="s">
        <v>14</v>
      </c>
      <c r="B1" s="28">
        <v>72000</v>
      </c>
      <c r="C1" s="26"/>
      <c r="D1" s="26"/>
      <c r="E1" s="26"/>
      <c r="F1" s="26" t="s">
        <v>15</v>
      </c>
      <c r="G1" s="26">
        <v>17000</v>
      </c>
    </row>
    <row r="2" spans="1:8" x14ac:dyDescent="0.35">
      <c r="A2" s="14"/>
      <c r="B2" s="15"/>
      <c r="F2" t="s">
        <v>74</v>
      </c>
      <c r="G2">
        <v>100000</v>
      </c>
    </row>
    <row r="3" spans="1:8" x14ac:dyDescent="0.35">
      <c r="A3" s="14"/>
      <c r="B3" s="15"/>
      <c r="F3" t="s">
        <v>81</v>
      </c>
      <c r="G3">
        <v>56000</v>
      </c>
      <c r="H3" t="s">
        <v>89</v>
      </c>
    </row>
    <row r="4" spans="1:8" x14ac:dyDescent="0.35">
      <c r="A4" s="14" t="s">
        <v>83</v>
      </c>
      <c r="B4" s="15">
        <v>6000</v>
      </c>
      <c r="G4" s="4">
        <f>SUM(G1:G3)</f>
        <v>173000</v>
      </c>
    </row>
    <row r="5" spans="1:8" x14ac:dyDescent="0.35">
      <c r="A5" s="14" t="s">
        <v>78</v>
      </c>
      <c r="B5" s="15">
        <v>2200</v>
      </c>
    </row>
    <row r="6" spans="1:8" x14ac:dyDescent="0.35">
      <c r="A6" s="14" t="s">
        <v>79</v>
      </c>
      <c r="B6" s="15">
        <v>1000</v>
      </c>
      <c r="F6" t="s">
        <v>7</v>
      </c>
      <c r="G6">
        <v>10000</v>
      </c>
    </row>
    <row r="7" spans="1:8" x14ac:dyDescent="0.35">
      <c r="A7" s="14" t="s">
        <v>80</v>
      </c>
      <c r="B7" s="15">
        <v>450</v>
      </c>
      <c r="F7" t="s">
        <v>82</v>
      </c>
      <c r="G7">
        <v>16000</v>
      </c>
    </row>
    <row r="8" spans="1:8" x14ac:dyDescent="0.35">
      <c r="A8" s="14" t="s">
        <v>84</v>
      </c>
      <c r="B8" s="15">
        <v>1600</v>
      </c>
      <c r="F8" t="s">
        <v>85</v>
      </c>
      <c r="G8">
        <v>17600</v>
      </c>
    </row>
    <row r="9" spans="1:8" x14ac:dyDescent="0.35">
      <c r="A9" s="14" t="s">
        <v>86</v>
      </c>
      <c r="B9" s="15">
        <v>750</v>
      </c>
      <c r="F9" t="s">
        <v>88</v>
      </c>
      <c r="G9">
        <v>40000</v>
      </c>
    </row>
    <row r="10" spans="1:8" x14ac:dyDescent="0.35">
      <c r="A10" s="14" t="s">
        <v>86</v>
      </c>
      <c r="B10" s="15">
        <v>1000</v>
      </c>
      <c r="F10" t="s">
        <v>90</v>
      </c>
      <c r="G10">
        <v>800</v>
      </c>
    </row>
    <row r="11" spans="1:8" x14ac:dyDescent="0.35">
      <c r="A11" s="14" t="s">
        <v>2</v>
      </c>
      <c r="B11" s="15">
        <v>300</v>
      </c>
    </row>
    <row r="12" spans="1:8" x14ac:dyDescent="0.35">
      <c r="A12" s="14" t="s">
        <v>2</v>
      </c>
      <c r="B12" s="15">
        <v>200</v>
      </c>
    </row>
    <row r="13" spans="1:8" x14ac:dyDescent="0.35">
      <c r="A13" s="14"/>
      <c r="B13" s="15"/>
    </row>
    <row r="14" spans="1:8" x14ac:dyDescent="0.35">
      <c r="A14" s="14"/>
      <c r="B14" s="15"/>
      <c r="G14">
        <f>SUM(G6:G13)</f>
        <v>84400</v>
      </c>
    </row>
    <row r="15" spans="1:8" ht="15" thickBot="1" x14ac:dyDescent="0.4">
      <c r="A15" s="18"/>
      <c r="B15" s="19">
        <f>SUM(B5:B14)</f>
        <v>7500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F22" sqref="F22"/>
    </sheetView>
  </sheetViews>
  <sheetFormatPr defaultRowHeight="14.5" x14ac:dyDescent="0.35"/>
  <cols>
    <col min="1" max="1" width="12.26953125" customWidth="1"/>
  </cols>
  <sheetData>
    <row r="1" spans="1:10" x14ac:dyDescent="0.35">
      <c r="A1" s="27" t="s">
        <v>14</v>
      </c>
      <c r="B1" s="28">
        <v>64000</v>
      </c>
      <c r="C1" s="26"/>
      <c r="D1" s="26"/>
      <c r="E1" s="26"/>
      <c r="F1" s="26" t="s">
        <v>15</v>
      </c>
      <c r="G1" s="26">
        <v>90000</v>
      </c>
    </row>
    <row r="2" spans="1:10" x14ac:dyDescent="0.35">
      <c r="A2" s="14"/>
      <c r="B2" s="15"/>
      <c r="F2" t="s">
        <v>97</v>
      </c>
      <c r="G2">
        <v>3000</v>
      </c>
    </row>
    <row r="3" spans="1:10" x14ac:dyDescent="0.35">
      <c r="A3" s="14"/>
      <c r="B3" s="15"/>
      <c r="F3" t="s">
        <v>81</v>
      </c>
      <c r="G3">
        <v>48000</v>
      </c>
    </row>
    <row r="4" spans="1:10" x14ac:dyDescent="0.35">
      <c r="A4" s="14" t="s">
        <v>83</v>
      </c>
      <c r="B4" s="15">
        <v>6000</v>
      </c>
      <c r="G4" s="4">
        <f>SUM(G1:G3)</f>
        <v>141000</v>
      </c>
    </row>
    <row r="5" spans="1:10" x14ac:dyDescent="0.35">
      <c r="A5" s="14" t="s">
        <v>94</v>
      </c>
      <c r="B5" s="15">
        <v>799</v>
      </c>
    </row>
    <row r="6" spans="1:10" x14ac:dyDescent="0.35">
      <c r="A6" s="14" t="s">
        <v>95</v>
      </c>
      <c r="B6" s="15">
        <v>1200</v>
      </c>
      <c r="F6" t="s">
        <v>7</v>
      </c>
      <c r="G6">
        <v>10000</v>
      </c>
      <c r="I6" t="s">
        <v>92</v>
      </c>
      <c r="J6">
        <v>1.5</v>
      </c>
    </row>
    <row r="7" spans="1:10" x14ac:dyDescent="0.35">
      <c r="A7" s="14" t="s">
        <v>96</v>
      </c>
      <c r="B7" s="15"/>
      <c r="F7" t="s">
        <v>91</v>
      </c>
      <c r="G7">
        <v>8500</v>
      </c>
      <c r="I7" t="s">
        <v>93</v>
      </c>
      <c r="J7">
        <v>1.5</v>
      </c>
    </row>
    <row r="8" spans="1:10" x14ac:dyDescent="0.35">
      <c r="A8" s="14" t="s">
        <v>84</v>
      </c>
      <c r="B8" s="15">
        <v>1600</v>
      </c>
      <c r="F8" t="s">
        <v>82</v>
      </c>
      <c r="G8">
        <v>16000</v>
      </c>
    </row>
    <row r="9" spans="1:10" x14ac:dyDescent="0.35">
      <c r="A9" s="14" t="s">
        <v>77</v>
      </c>
      <c r="B9" s="15">
        <v>1600</v>
      </c>
      <c r="F9" t="s">
        <v>98</v>
      </c>
      <c r="G9">
        <v>12600</v>
      </c>
    </row>
    <row r="10" spans="1:10" x14ac:dyDescent="0.35">
      <c r="A10" s="14" t="s">
        <v>99</v>
      </c>
      <c r="B10" s="15">
        <v>2500</v>
      </c>
    </row>
    <row r="11" spans="1:10" x14ac:dyDescent="0.35">
      <c r="A11" s="14" t="s">
        <v>95</v>
      </c>
      <c r="B11" s="15">
        <v>1500</v>
      </c>
    </row>
    <row r="12" spans="1:10" x14ac:dyDescent="0.35">
      <c r="A12" s="14" t="s">
        <v>100</v>
      </c>
      <c r="B12" s="15">
        <v>3000</v>
      </c>
    </row>
    <row r="13" spans="1:10" x14ac:dyDescent="0.35">
      <c r="A13" s="14" t="s">
        <v>95</v>
      </c>
      <c r="B13" s="15">
        <v>1500</v>
      </c>
    </row>
    <row r="14" spans="1:10" x14ac:dyDescent="0.35">
      <c r="A14" s="14"/>
      <c r="B14" s="15"/>
      <c r="G14">
        <f>SUM(G6:G13)</f>
        <v>47100</v>
      </c>
    </row>
    <row r="15" spans="1:10" ht="15" thickBot="1" x14ac:dyDescent="0.4">
      <c r="A15" s="18"/>
      <c r="B15" s="19">
        <f>SUM(B5:B14)</f>
        <v>13699</v>
      </c>
    </row>
    <row r="18" spans="5:5" x14ac:dyDescent="0.35">
      <c r="E18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activeCell="D17" sqref="D17"/>
    </sheetView>
  </sheetViews>
  <sheetFormatPr defaultRowHeight="14.5" x14ac:dyDescent="0.35"/>
  <cols>
    <col min="8" max="8" width="13.7265625" customWidth="1"/>
  </cols>
  <sheetData>
    <row r="1" spans="1:9" x14ac:dyDescent="0.35">
      <c r="A1" s="27" t="s">
        <v>14</v>
      </c>
      <c r="B1" s="28">
        <v>65000</v>
      </c>
      <c r="C1" s="26"/>
      <c r="D1" s="26"/>
      <c r="E1" s="26"/>
      <c r="F1" s="26" t="s">
        <v>15</v>
      </c>
      <c r="G1" s="26">
        <v>98000</v>
      </c>
    </row>
    <row r="2" spans="1:9" x14ac:dyDescent="0.35">
      <c r="A2" s="14"/>
      <c r="B2" s="15"/>
      <c r="F2" t="s">
        <v>104</v>
      </c>
      <c r="G2">
        <v>50000</v>
      </c>
    </row>
    <row r="3" spans="1:9" x14ac:dyDescent="0.35">
      <c r="A3" s="14"/>
      <c r="B3" s="15"/>
      <c r="F3" t="s">
        <v>74</v>
      </c>
      <c r="G3">
        <v>120000</v>
      </c>
      <c r="H3" t="s">
        <v>108</v>
      </c>
    </row>
    <row r="4" spans="1:9" x14ac:dyDescent="0.35">
      <c r="A4" s="14" t="s">
        <v>83</v>
      </c>
      <c r="B4" s="15">
        <v>6000</v>
      </c>
      <c r="G4" s="4">
        <v>21000</v>
      </c>
    </row>
    <row r="5" spans="1:9" x14ac:dyDescent="0.35">
      <c r="A5" s="14" t="s">
        <v>78</v>
      </c>
      <c r="B5" s="15">
        <v>1500</v>
      </c>
    </row>
    <row r="6" spans="1:9" x14ac:dyDescent="0.35">
      <c r="A6" s="14" t="s">
        <v>102</v>
      </c>
      <c r="B6" s="15">
        <v>8000</v>
      </c>
      <c r="F6" t="s">
        <v>7</v>
      </c>
      <c r="G6">
        <v>10000</v>
      </c>
    </row>
    <row r="7" spans="1:9" x14ac:dyDescent="0.35">
      <c r="A7" s="14" t="s">
        <v>103</v>
      </c>
      <c r="B7" s="15">
        <v>1600</v>
      </c>
      <c r="F7" t="s">
        <v>82</v>
      </c>
      <c r="G7">
        <v>16000</v>
      </c>
    </row>
    <row r="8" spans="1:9" x14ac:dyDescent="0.35">
      <c r="A8" s="14"/>
      <c r="B8" s="15"/>
      <c r="F8" t="s">
        <v>105</v>
      </c>
      <c r="G8">
        <v>3250</v>
      </c>
      <c r="H8" t="s">
        <v>106</v>
      </c>
      <c r="I8" t="s">
        <v>107</v>
      </c>
    </row>
    <row r="9" spans="1:9" x14ac:dyDescent="0.35">
      <c r="A9" s="14"/>
      <c r="B9" s="15"/>
    </row>
    <row r="10" spans="1:9" x14ac:dyDescent="0.35">
      <c r="A10" s="14"/>
      <c r="B10" s="15"/>
    </row>
    <row r="11" spans="1:9" x14ac:dyDescent="0.35">
      <c r="A11" s="14"/>
      <c r="B11" s="15"/>
    </row>
    <row r="12" spans="1:9" x14ac:dyDescent="0.35">
      <c r="A12" s="14"/>
      <c r="B12" s="15"/>
    </row>
    <row r="13" spans="1:9" x14ac:dyDescent="0.35">
      <c r="A13" s="14"/>
      <c r="B13" s="15"/>
    </row>
    <row r="14" spans="1:9" x14ac:dyDescent="0.35">
      <c r="A14" s="14"/>
      <c r="B14" s="15"/>
      <c r="G14">
        <f>SUM(G6:G13)</f>
        <v>29250</v>
      </c>
    </row>
    <row r="15" spans="1:9" ht="15" thickBot="1" x14ac:dyDescent="0.4">
      <c r="A15" s="18"/>
      <c r="B15" s="19">
        <f>SUM(B5:B14)</f>
        <v>11100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4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4.5" x14ac:dyDescent="0.35"/>
  <cols>
    <col min="2" max="2" width="32.26953125" style="52" customWidth="1"/>
    <col min="3" max="3" width="24.54296875" style="8" customWidth="1"/>
    <col min="4" max="4" width="20.453125" style="8" customWidth="1"/>
    <col min="5" max="5" width="24.6328125" customWidth="1"/>
    <col min="6" max="6" width="18.54296875" customWidth="1"/>
  </cols>
  <sheetData>
    <row r="1" spans="2:6" ht="45" customHeight="1" x14ac:dyDescent="0.5">
      <c r="B1" s="38" t="s">
        <v>40</v>
      </c>
      <c r="C1" s="39" t="s">
        <v>45</v>
      </c>
      <c r="D1" s="39" t="s">
        <v>63</v>
      </c>
      <c r="E1" s="39" t="s">
        <v>113</v>
      </c>
      <c r="F1" s="40" t="s">
        <v>62</v>
      </c>
    </row>
    <row r="2" spans="2:6" ht="45" customHeight="1" x14ac:dyDescent="0.35">
      <c r="B2" s="50" t="s">
        <v>41</v>
      </c>
      <c r="C2" s="48" t="s">
        <v>157</v>
      </c>
      <c r="D2" s="41" t="s">
        <v>57</v>
      </c>
      <c r="E2" s="42" t="s">
        <v>114</v>
      </c>
      <c r="F2" s="43" t="s">
        <v>66</v>
      </c>
    </row>
    <row r="3" spans="2:6" ht="58" x14ac:dyDescent="0.35">
      <c r="B3" s="50" t="s">
        <v>42</v>
      </c>
      <c r="C3" s="48" t="s">
        <v>159</v>
      </c>
      <c r="D3" s="41" t="s">
        <v>56</v>
      </c>
      <c r="E3" s="31" t="s">
        <v>119</v>
      </c>
      <c r="F3" s="43" t="s">
        <v>66</v>
      </c>
    </row>
    <row r="4" spans="2:6" ht="24.5" customHeight="1" x14ac:dyDescent="0.35">
      <c r="B4" s="50" t="s">
        <v>71</v>
      </c>
      <c r="C4" s="41" t="s">
        <v>160</v>
      </c>
      <c r="D4" s="41" t="s">
        <v>61</v>
      </c>
      <c r="E4" s="29" t="s">
        <v>72</v>
      </c>
      <c r="F4" s="43" t="s">
        <v>66</v>
      </c>
    </row>
    <row r="5" spans="2:6" ht="31.5" customHeight="1" x14ac:dyDescent="0.35">
      <c r="B5" s="50" t="s">
        <v>59</v>
      </c>
      <c r="C5" s="48" t="s">
        <v>158</v>
      </c>
      <c r="D5" s="41" t="s">
        <v>61</v>
      </c>
      <c r="E5" s="30" t="s">
        <v>124</v>
      </c>
      <c r="F5" s="43" t="s">
        <v>66</v>
      </c>
    </row>
    <row r="6" spans="2:6" ht="72.5" x14ac:dyDescent="0.35">
      <c r="B6" s="50" t="s">
        <v>60</v>
      </c>
      <c r="C6" s="48" t="s">
        <v>161</v>
      </c>
      <c r="D6" s="41" t="s">
        <v>109</v>
      </c>
      <c r="E6" s="31" t="s">
        <v>120</v>
      </c>
      <c r="F6" s="43" t="s">
        <v>64</v>
      </c>
    </row>
    <row r="7" spans="2:6" ht="27.5" customHeight="1" x14ac:dyDescent="0.35">
      <c r="B7" s="50" t="s">
        <v>110</v>
      </c>
      <c r="C7" s="41" t="s">
        <v>162</v>
      </c>
      <c r="D7" s="41" t="s">
        <v>111</v>
      </c>
      <c r="E7" s="29" t="s">
        <v>117</v>
      </c>
      <c r="F7" s="43" t="s">
        <v>66</v>
      </c>
    </row>
    <row r="8" spans="2:6" ht="28" customHeight="1" x14ac:dyDescent="0.35">
      <c r="B8" s="50" t="s">
        <v>118</v>
      </c>
      <c r="C8" s="41" t="s">
        <v>163</v>
      </c>
      <c r="D8" s="41" t="s">
        <v>121</v>
      </c>
      <c r="E8" s="29"/>
      <c r="F8" s="43" t="s">
        <v>66</v>
      </c>
    </row>
    <row r="9" spans="2:6" ht="72" customHeight="1" x14ac:dyDescent="0.35">
      <c r="B9" s="50" t="s">
        <v>112</v>
      </c>
      <c r="C9" s="41" t="s">
        <v>164</v>
      </c>
      <c r="D9" s="41" t="s">
        <v>111</v>
      </c>
      <c r="E9" s="49" t="s">
        <v>165</v>
      </c>
      <c r="F9" s="43" t="s">
        <v>115</v>
      </c>
    </row>
    <row r="10" spans="2:6" ht="87" customHeight="1" x14ac:dyDescent="0.35">
      <c r="B10" s="50" t="s">
        <v>122</v>
      </c>
      <c r="C10" s="41" t="s">
        <v>167</v>
      </c>
      <c r="D10" s="41" t="s">
        <v>123</v>
      </c>
      <c r="E10" s="32" t="s">
        <v>156</v>
      </c>
      <c r="F10" s="43"/>
    </row>
    <row r="11" spans="2:6" ht="32" customHeight="1" x14ac:dyDescent="0.35">
      <c r="B11" s="50" t="s">
        <v>51</v>
      </c>
      <c r="C11" s="41" t="s">
        <v>52</v>
      </c>
      <c r="D11" s="41" t="s">
        <v>57</v>
      </c>
      <c r="E11" s="41">
        <v>2047</v>
      </c>
      <c r="F11" s="43" t="s">
        <v>65</v>
      </c>
    </row>
    <row r="12" spans="2:6" x14ac:dyDescent="0.35">
      <c r="B12" s="50"/>
      <c r="C12" s="41"/>
      <c r="D12" s="41"/>
      <c r="E12" s="44"/>
      <c r="F12" s="15"/>
    </row>
    <row r="13" spans="2:6" x14ac:dyDescent="0.35">
      <c r="B13" s="50"/>
      <c r="C13" s="41"/>
      <c r="D13" s="41"/>
      <c r="E13" s="44"/>
      <c r="F13" s="15"/>
    </row>
    <row r="14" spans="2:6" ht="43.5" x14ac:dyDescent="0.35">
      <c r="B14" s="50" t="s">
        <v>32</v>
      </c>
      <c r="C14" s="41" t="s">
        <v>43</v>
      </c>
      <c r="D14" s="41" t="s">
        <v>116</v>
      </c>
      <c r="E14" s="45" t="s">
        <v>166</v>
      </c>
      <c r="F14" s="43" t="s">
        <v>87</v>
      </c>
    </row>
    <row r="15" spans="2:6" x14ac:dyDescent="0.35">
      <c r="B15" s="50"/>
      <c r="C15" s="41"/>
      <c r="D15" s="44"/>
      <c r="E15" s="44"/>
      <c r="F15" s="15"/>
    </row>
    <row r="16" spans="2:6" x14ac:dyDescent="0.35">
      <c r="B16" s="50"/>
      <c r="C16" s="41"/>
      <c r="D16" s="44"/>
      <c r="E16" s="44"/>
      <c r="F16" s="15"/>
    </row>
    <row r="17" spans="2:6" x14ac:dyDescent="0.35">
      <c r="B17" s="50"/>
      <c r="C17" s="41"/>
      <c r="D17" s="44"/>
      <c r="E17" s="44"/>
      <c r="F17" s="15"/>
    </row>
    <row r="18" spans="2:6" ht="15" thickBot="1" x14ac:dyDescent="0.4">
      <c r="B18" s="51"/>
      <c r="C18" s="46"/>
      <c r="D18" s="46"/>
      <c r="E18" s="47"/>
      <c r="F18" s="19"/>
    </row>
    <row r="19" spans="2:6" x14ac:dyDescent="0.35">
      <c r="E19" s="8"/>
      <c r="F19" s="8"/>
    </row>
    <row r="20" spans="2:6" x14ac:dyDescent="0.35">
      <c r="E20" s="8"/>
      <c r="F20" s="8"/>
    </row>
    <row r="21" spans="2:6" x14ac:dyDescent="0.35">
      <c r="E21" s="8"/>
      <c r="F21" s="8"/>
    </row>
    <row r="22" spans="2:6" x14ac:dyDescent="0.35">
      <c r="E22" s="8"/>
      <c r="F22" s="8"/>
    </row>
    <row r="23" spans="2:6" x14ac:dyDescent="0.35">
      <c r="E23" s="8"/>
      <c r="F23" s="8"/>
    </row>
    <row r="24" spans="2:6" x14ac:dyDescent="0.35">
      <c r="E24" s="8"/>
      <c r="F24" s="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25BE-CF4F-4953-9051-A56B95275A02}">
  <dimension ref="A1:E40"/>
  <sheetViews>
    <sheetView topLeftCell="A10" workbookViewId="0">
      <selection activeCell="F15" sqref="F15"/>
    </sheetView>
  </sheetViews>
  <sheetFormatPr defaultRowHeight="12.5" x14ac:dyDescent="0.25"/>
  <cols>
    <col min="1" max="1" width="22.36328125" style="33" customWidth="1"/>
    <col min="2" max="2" width="20.7265625" style="34" customWidth="1"/>
    <col min="3" max="3" width="23.81640625" style="34" customWidth="1"/>
    <col min="4" max="4" width="12.7265625" style="34" customWidth="1"/>
    <col min="5" max="5" width="23.36328125" style="33" customWidth="1"/>
    <col min="6" max="16384" width="8.7265625" style="33"/>
  </cols>
  <sheetData>
    <row r="1" spans="1:5" customFormat="1" ht="45" customHeight="1" x14ac:dyDescent="0.5">
      <c r="A1" s="9" t="s">
        <v>125</v>
      </c>
      <c r="B1" s="9" t="s">
        <v>127</v>
      </c>
      <c r="C1" s="9" t="s">
        <v>44</v>
      </c>
      <c r="D1" s="9" t="s">
        <v>149</v>
      </c>
      <c r="E1" s="9" t="s">
        <v>152</v>
      </c>
    </row>
    <row r="2" spans="1:5" x14ac:dyDescent="0.25">
      <c r="A2" s="33" t="s">
        <v>126</v>
      </c>
      <c r="B2" s="34">
        <v>20</v>
      </c>
      <c r="C2" s="34">
        <v>4120</v>
      </c>
    </row>
    <row r="3" spans="1:5" x14ac:dyDescent="0.25">
      <c r="A3" s="33" t="s">
        <v>128</v>
      </c>
      <c r="B3" s="34">
        <v>21</v>
      </c>
      <c r="C3" s="34">
        <v>11627</v>
      </c>
      <c r="E3" s="37" t="s">
        <v>153</v>
      </c>
    </row>
    <row r="4" spans="1:5" x14ac:dyDescent="0.25">
      <c r="A4" s="33" t="s">
        <v>129</v>
      </c>
      <c r="B4" s="34">
        <v>49</v>
      </c>
      <c r="C4" s="34">
        <v>10466</v>
      </c>
      <c r="D4" s="34" t="s">
        <v>150</v>
      </c>
      <c r="E4" s="37"/>
    </row>
    <row r="5" spans="1:5" x14ac:dyDescent="0.25">
      <c r="A5" s="33" t="s">
        <v>130</v>
      </c>
      <c r="B5" s="34">
        <v>6</v>
      </c>
      <c r="C5" s="34">
        <v>4343</v>
      </c>
      <c r="E5" s="37" t="s">
        <v>154</v>
      </c>
    </row>
    <row r="6" spans="1:5" x14ac:dyDescent="0.25">
      <c r="A6" s="33" t="s">
        <v>131</v>
      </c>
      <c r="B6" s="34">
        <v>6</v>
      </c>
      <c r="C6" s="34">
        <v>422</v>
      </c>
      <c r="E6" s="37"/>
    </row>
    <row r="7" spans="1:5" x14ac:dyDescent="0.25">
      <c r="A7" s="33" t="s">
        <v>132</v>
      </c>
      <c r="B7" s="34">
        <v>5</v>
      </c>
      <c r="C7" s="34">
        <v>3746</v>
      </c>
      <c r="E7" s="37" t="s">
        <v>155</v>
      </c>
    </row>
    <row r="8" spans="1:5" x14ac:dyDescent="0.25">
      <c r="A8" s="33" t="s">
        <v>133</v>
      </c>
      <c r="B8" s="34">
        <v>10</v>
      </c>
      <c r="C8" s="34">
        <v>1103</v>
      </c>
    </row>
    <row r="9" spans="1:5" x14ac:dyDescent="0.25">
      <c r="A9" s="33" t="s">
        <v>134</v>
      </c>
      <c r="B9" s="34">
        <v>5</v>
      </c>
      <c r="C9" s="34">
        <v>8510</v>
      </c>
      <c r="D9" s="34">
        <v>100</v>
      </c>
    </row>
    <row r="10" spans="1:5" x14ac:dyDescent="0.25">
      <c r="A10" s="33" t="s">
        <v>135</v>
      </c>
      <c r="B10" s="34">
        <v>14</v>
      </c>
      <c r="C10" s="34">
        <v>27749</v>
      </c>
    </row>
    <row r="11" spans="1:5" x14ac:dyDescent="0.25">
      <c r="A11" s="33" t="s">
        <v>136</v>
      </c>
      <c r="B11" s="34">
        <v>30</v>
      </c>
      <c r="C11" s="34">
        <v>3096</v>
      </c>
      <c r="D11" s="34">
        <v>100</v>
      </c>
    </row>
    <row r="12" spans="1:5" x14ac:dyDescent="0.25">
      <c r="A12" s="33" t="s">
        <v>137</v>
      </c>
      <c r="B12" s="34">
        <v>44</v>
      </c>
      <c r="C12" s="34">
        <v>2508</v>
      </c>
    </row>
    <row r="13" spans="1:5" x14ac:dyDescent="0.25">
      <c r="A13" s="33" t="s">
        <v>138</v>
      </c>
      <c r="B13" s="34">
        <v>25</v>
      </c>
      <c r="C13" s="34">
        <v>3254</v>
      </c>
    </row>
    <row r="14" spans="1:5" x14ac:dyDescent="0.25">
      <c r="A14" s="33" t="s">
        <v>139</v>
      </c>
      <c r="B14" s="34">
        <v>20</v>
      </c>
      <c r="C14" s="34">
        <v>2518</v>
      </c>
      <c r="D14" s="34">
        <v>100</v>
      </c>
    </row>
    <row r="15" spans="1:5" x14ac:dyDescent="0.25">
      <c r="A15" s="33" t="s">
        <v>140</v>
      </c>
      <c r="B15" s="34">
        <v>9</v>
      </c>
      <c r="C15" s="34">
        <v>27628</v>
      </c>
      <c r="D15" s="34" t="s">
        <v>151</v>
      </c>
    </row>
    <row r="16" spans="1:5" x14ac:dyDescent="0.25">
      <c r="A16" s="33" t="s">
        <v>141</v>
      </c>
      <c r="B16" s="34">
        <v>20</v>
      </c>
      <c r="C16" s="34">
        <v>5864</v>
      </c>
      <c r="D16" s="34">
        <v>100</v>
      </c>
    </row>
    <row r="17" spans="1:4" x14ac:dyDescent="0.25">
      <c r="A17" s="33" t="s">
        <v>142</v>
      </c>
      <c r="B17" s="34">
        <v>20</v>
      </c>
      <c r="C17" s="34">
        <v>6951</v>
      </c>
    </row>
    <row r="18" spans="1:4" x14ac:dyDescent="0.25">
      <c r="A18" s="33" t="s">
        <v>143</v>
      </c>
      <c r="B18" s="34">
        <v>20</v>
      </c>
      <c r="C18" s="34">
        <v>4320</v>
      </c>
    </row>
    <row r="19" spans="1:4" x14ac:dyDescent="0.25">
      <c r="A19" s="33" t="s">
        <v>144</v>
      </c>
      <c r="B19" s="34">
        <v>15</v>
      </c>
      <c r="C19" s="34">
        <v>10409</v>
      </c>
      <c r="D19" s="34" t="s">
        <v>151</v>
      </c>
    </row>
    <row r="20" spans="1:4" x14ac:dyDescent="0.25">
      <c r="A20" s="33" t="s">
        <v>145</v>
      </c>
      <c r="B20" s="34">
        <v>9</v>
      </c>
      <c r="C20" s="34">
        <v>4712</v>
      </c>
      <c r="D20" s="34" t="s">
        <v>151</v>
      </c>
    </row>
    <row r="21" spans="1:4" x14ac:dyDescent="0.25">
      <c r="A21" s="33" t="s">
        <v>146</v>
      </c>
      <c r="B21" s="34">
        <v>19</v>
      </c>
      <c r="C21" s="34">
        <v>28029</v>
      </c>
      <c r="D21" s="34">
        <v>100</v>
      </c>
    </row>
    <row r="22" spans="1:4" x14ac:dyDescent="0.25">
      <c r="A22" s="33" t="s">
        <v>147</v>
      </c>
      <c r="B22" s="34">
        <v>20</v>
      </c>
      <c r="C22" s="34">
        <v>11565</v>
      </c>
      <c r="D22" s="34">
        <v>100</v>
      </c>
    </row>
    <row r="40" spans="1:4" s="35" customFormat="1" ht="13" x14ac:dyDescent="0.3">
      <c r="A40" s="35" t="s">
        <v>148</v>
      </c>
      <c r="B40" s="36"/>
      <c r="C40" s="36">
        <f>SUM(C2:C39)</f>
        <v>182940</v>
      </c>
      <c r="D40" s="36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Jan'18</vt:lpstr>
      <vt:lpstr>Feb'18</vt:lpstr>
      <vt:lpstr>March'18</vt:lpstr>
      <vt:lpstr>April'18</vt:lpstr>
      <vt:lpstr>May'18</vt:lpstr>
      <vt:lpstr>June'18</vt:lpstr>
      <vt:lpstr>MFsLicElss</vt:lpstr>
      <vt:lpstr>Stocks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Mohammed</dc:creator>
  <cp:lastModifiedBy>Begum, Reshma Mohammed</cp:lastModifiedBy>
  <dcterms:created xsi:type="dcterms:W3CDTF">2018-01-18T04:58:18Z</dcterms:created>
  <dcterms:modified xsi:type="dcterms:W3CDTF">2021-05-24T05:08:49Z</dcterms:modified>
</cp:coreProperties>
</file>